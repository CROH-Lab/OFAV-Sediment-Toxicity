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199" documentId="11_718B13480B40B793C010EF1E8A4F4A3B6F7C3E31" xr6:coauthVersionLast="47" xr6:coauthVersionMax="47" xr10:uidLastSave="{C9C3369D-19C4-4B79-AFB2-DD8426310B7C}"/>
  <bookViews>
    <workbookView xWindow="240" yWindow="105" windowWidth="14805" windowHeight="8010" xr2:uid="{00000000-000D-0000-FFFF-FFFF00000000}"/>
  </bookViews>
  <sheets>
    <sheet name="Metadata" sheetId="2" r:id="rId1"/>
    <sheet name="Response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9" i="1"/>
  <c r="G10" i="1"/>
  <c r="G11" i="1"/>
  <c r="G12" i="1"/>
  <c r="G13" i="1"/>
  <c r="G14" i="1"/>
  <c r="G15" i="1"/>
  <c r="G16" i="1"/>
  <c r="G17" i="1"/>
  <c r="G18" i="1"/>
  <c r="G19" i="1"/>
  <c r="G21" i="1"/>
  <c r="G22" i="1"/>
  <c r="G23" i="1"/>
  <c r="G24" i="1"/>
  <c r="G25" i="1"/>
  <c r="G26" i="1"/>
  <c r="G27" i="1"/>
  <c r="G28" i="1"/>
  <c r="G2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G2" i="1"/>
  <c r="G3" i="1"/>
  <c r="G4" i="1"/>
  <c r="G5" i="1"/>
  <c r="G6" i="1"/>
  <c r="G7" i="1"/>
  <c r="G8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<sst xmlns="http://schemas.openxmlformats.org/spreadsheetml/2006/main" count="50" uniqueCount="49">
  <si>
    <t>Sample ID</t>
  </si>
  <si>
    <t>OFAV = Obicella faveolata</t>
  </si>
  <si>
    <t>1, 2, 3, 69 = Coral genotype</t>
  </si>
  <si>
    <t>.1 -.5 = Coral individual</t>
  </si>
  <si>
    <t>C = Coral tissue</t>
  </si>
  <si>
    <t>Z, S = Sympiont tissue</t>
  </si>
  <si>
    <t>Example: OFAV2.1C = Orbicella faveolata, genotype 2, individual 1, coral tissue</t>
  </si>
  <si>
    <t>Example: OFAV_1-C = Orbicella faveolata, genotype 1, coral tissue</t>
  </si>
  <si>
    <t>Measurements</t>
  </si>
  <si>
    <t>Sample volume = volume of tissue slurry used for analysis measured in mL.</t>
  </si>
  <si>
    <t xml:space="preserve">Burned pans = Weight of pre-burned aluminum pans measured in g </t>
  </si>
  <si>
    <t>Burned pan + Dry residue = Weight of pre-burned pan and dried tissue slurry after drying in drying oven measured in g</t>
  </si>
  <si>
    <t>Dry tissue biomass = Weight of tissue slurry - weight of pre-burned pan after drying in drying oven</t>
  </si>
  <si>
    <t>DBurned pan + Bruned residue = Weight of aluminum pan + tissue slurry after burning at 450ºC for 6 hours measuered in g</t>
  </si>
  <si>
    <t>Ash Free Dry Weight = Weight of burned tissue slurry calculated by (Burned pan + Dry residue - Burned pan + Burned residue)/Sample volume. Units are g/mL.</t>
  </si>
  <si>
    <t>Sample volume (mL)</t>
  </si>
  <si>
    <t>Burned pan (g)</t>
  </si>
  <si>
    <t>Burned pan + Dry residue (g)</t>
  </si>
  <si>
    <t>Dry tissue biomass (g)</t>
  </si>
  <si>
    <t>Bruned pan + Burned residue</t>
  </si>
  <si>
    <t>Ash Free Dry Weight (g/mL)</t>
  </si>
  <si>
    <t>OFAV_1-C</t>
  </si>
  <si>
    <t>OFAV_1-Z</t>
  </si>
  <si>
    <t>OFAV_69-C</t>
  </si>
  <si>
    <t>OFAV_69-Z</t>
  </si>
  <si>
    <t>OFAV_3-Z</t>
  </si>
  <si>
    <t>OFAV_3-C</t>
  </si>
  <si>
    <t>OFAV_2-C</t>
  </si>
  <si>
    <t>OFAV_2-Z</t>
  </si>
  <si>
    <t>OFAV2.1C</t>
  </si>
  <si>
    <t>OFAV2.2C</t>
  </si>
  <si>
    <t>OFAV2.3C</t>
  </si>
  <si>
    <t>OFAV2.4C</t>
  </si>
  <si>
    <t>OFAV2.5C</t>
  </si>
  <si>
    <t>OFAV1.1C</t>
  </si>
  <si>
    <t>OFAV1.2C</t>
  </si>
  <si>
    <t>OFAV1.3C</t>
  </si>
  <si>
    <t>OFAV1.4C</t>
  </si>
  <si>
    <t>OFAV1.5C</t>
  </si>
  <si>
    <t>OFAV2.1S</t>
  </si>
  <si>
    <t>OFAV2.2S</t>
  </si>
  <si>
    <t>OFAV2.3S</t>
  </si>
  <si>
    <t>OFAV2.4S</t>
  </si>
  <si>
    <t>OFAV2.5S</t>
  </si>
  <si>
    <t>OFAV1.1S</t>
  </si>
  <si>
    <t>OFAV1.2S</t>
  </si>
  <si>
    <t>OFAV1.3S</t>
  </si>
  <si>
    <t>OFAV1.4S</t>
  </si>
  <si>
    <t>OFAV1.5S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</si>
</sst>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2595-4F1F-45B1-ADD2-F1F4B906AA7E}">
  <dimension ref="A1:A17"/>
  <sheetViews>
    <sheetView tabSelected="1" workbookViewId="0">
      <selection activeCell="C24" sqref="C24"/>
    </sheetView>
  </sheetViews>
  <sheetFormatPr defaultRowHeight="15"/>
  <cols>
    <col min="9" max="9" width="11" bestFit="1" customWidth="1"/>
    <col min="10" max="10" width="19" bestFit="1" customWidth="1"/>
    <col min="11" max="11" width="13.7109375" bestFit="1" customWidth="1"/>
    <col min="12" max="12" width="25.7109375" bestFit="1" customWidth="1"/>
    <col min="13" max="13" width="20.28515625" bestFit="1" customWidth="1"/>
    <col min="14" max="14" width="26.28515625" bestFit="1" customWidth="1"/>
    <col min="15" max="15" width="24.570312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11" spans="1:1">
      <c r="A11" s="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sqref="A1:G11"/>
    </sheetView>
  </sheetViews>
  <sheetFormatPr defaultRowHeight="15"/>
  <cols>
    <col min="1" max="1" width="10.7109375" bestFit="1" customWidth="1"/>
    <col min="2" max="2" width="18.42578125" bestFit="1" customWidth="1"/>
    <col min="3" max="3" width="13.28515625" bestFit="1" customWidth="1"/>
    <col min="4" max="4" width="24.85546875" bestFit="1" customWidth="1"/>
    <col min="5" max="5" width="19.7109375" bestFit="1" customWidth="1"/>
    <col min="6" max="6" width="25.42578125" bestFit="1" customWidth="1"/>
    <col min="7" max="7" width="23.85546875" bestFit="1" customWidth="1"/>
  </cols>
  <sheetData>
    <row r="1" spans="1:7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21</v>
      </c>
      <c r="B2">
        <v>4</v>
      </c>
      <c r="C2">
        <v>0.71879999999999999</v>
      </c>
      <c r="D2">
        <v>0.78510000000000002</v>
      </c>
      <c r="E2">
        <f>D2-C2</f>
        <v>6.6300000000000026E-2</v>
      </c>
      <c r="F2">
        <v>0.77580000000000005</v>
      </c>
      <c r="G2">
        <f>(D2-F2)/B2</f>
        <v>2.3249999999999937E-3</v>
      </c>
    </row>
    <row r="3" spans="1:7">
      <c r="A3" t="s">
        <v>22</v>
      </c>
      <c r="B3">
        <v>1</v>
      </c>
      <c r="C3">
        <v>0.70730000000000004</v>
      </c>
      <c r="D3">
        <v>0.72519999999999996</v>
      </c>
      <c r="E3">
        <f t="shared" ref="E3:E29" si="0">D3-C3</f>
        <v>1.7899999999999916E-2</v>
      </c>
      <c r="F3">
        <v>0.72070000000000001</v>
      </c>
      <c r="G3">
        <f t="shared" ref="G3:G29" si="1">(D3-F3)/B3</f>
        <v>4.4999999999999485E-3</v>
      </c>
    </row>
    <row r="4" spans="1:7">
      <c r="A4" t="s">
        <v>23</v>
      </c>
      <c r="B4">
        <v>4</v>
      </c>
      <c r="C4">
        <v>0.70030000000000003</v>
      </c>
      <c r="D4">
        <v>0.76739999999999997</v>
      </c>
      <c r="E4">
        <f t="shared" si="0"/>
        <v>6.7099999999999937E-2</v>
      </c>
      <c r="F4">
        <v>0.75980000000000003</v>
      </c>
      <c r="G4">
        <f t="shared" si="1"/>
        <v>1.899999999999985E-3</v>
      </c>
    </row>
    <row r="5" spans="1:7">
      <c r="A5" t="s">
        <v>24</v>
      </c>
      <c r="B5">
        <v>1</v>
      </c>
      <c r="C5">
        <v>0.71160000000000001</v>
      </c>
      <c r="D5">
        <v>0.72709999999999997</v>
      </c>
      <c r="E5">
        <f t="shared" si="0"/>
        <v>1.5499999999999958E-2</v>
      </c>
      <c r="F5">
        <v>0.7248</v>
      </c>
      <c r="G5">
        <f t="shared" si="1"/>
        <v>2.2999999999999687E-3</v>
      </c>
    </row>
    <row r="6" spans="1:7">
      <c r="A6" t="s">
        <v>25</v>
      </c>
      <c r="B6">
        <v>1</v>
      </c>
      <c r="C6">
        <v>0.7077</v>
      </c>
      <c r="D6">
        <v>0.72829999999999995</v>
      </c>
      <c r="E6">
        <f t="shared" si="0"/>
        <v>2.0599999999999952E-2</v>
      </c>
      <c r="F6">
        <v>0.72209999999999996</v>
      </c>
      <c r="G6">
        <f t="shared" si="1"/>
        <v>6.1999999999999833E-3</v>
      </c>
    </row>
    <row r="7" spans="1:7">
      <c r="A7" t="s">
        <v>26</v>
      </c>
      <c r="B7">
        <v>4</v>
      </c>
      <c r="C7">
        <v>0.71330000000000005</v>
      </c>
      <c r="D7">
        <v>0.78120000000000001</v>
      </c>
      <c r="E7">
        <f t="shared" si="0"/>
        <v>6.789999999999996E-2</v>
      </c>
      <c r="F7">
        <v>0.77090000000000003</v>
      </c>
      <c r="G7">
        <f t="shared" si="1"/>
        <v>2.574999999999994E-3</v>
      </c>
    </row>
    <row r="8" spans="1:7">
      <c r="A8" t="s">
        <v>27</v>
      </c>
      <c r="B8">
        <v>4</v>
      </c>
      <c r="C8">
        <v>0.71399999999999997</v>
      </c>
      <c r="D8">
        <v>0.78039999999999998</v>
      </c>
      <c r="E8">
        <f t="shared" si="0"/>
        <v>6.6400000000000015E-2</v>
      </c>
      <c r="F8">
        <v>0.77349999999999997</v>
      </c>
      <c r="G8">
        <f t="shared" si="1"/>
        <v>1.7250000000000043E-3</v>
      </c>
    </row>
    <row r="9" spans="1:7">
      <c r="A9" t="s">
        <v>28</v>
      </c>
      <c r="B9">
        <v>1</v>
      </c>
      <c r="C9">
        <v>0.71079999999999999</v>
      </c>
      <c r="D9">
        <v>0.7258</v>
      </c>
      <c r="E9">
        <f t="shared" si="0"/>
        <v>1.5000000000000013E-2</v>
      </c>
      <c r="F9">
        <v>0.72370000000000001</v>
      </c>
      <c r="G9">
        <f t="shared" si="1"/>
        <v>2.0999999999999908E-3</v>
      </c>
    </row>
    <row r="10" spans="1:7">
      <c r="A10" t="s">
        <v>29</v>
      </c>
      <c r="B10">
        <v>4</v>
      </c>
      <c r="C10">
        <v>0.70930000000000004</v>
      </c>
      <c r="D10">
        <v>0.75260000000000005</v>
      </c>
      <c r="E10">
        <f t="shared" si="0"/>
        <v>4.3300000000000005E-2</v>
      </c>
      <c r="F10">
        <v>0.75060000000000004</v>
      </c>
      <c r="G10">
        <f t="shared" si="1"/>
        <v>5.0000000000000044E-4</v>
      </c>
    </row>
    <row r="11" spans="1:7">
      <c r="A11" t="s">
        <v>30</v>
      </c>
      <c r="B11">
        <v>4</v>
      </c>
      <c r="C11">
        <v>0.71350000000000002</v>
      </c>
      <c r="D11">
        <v>0.7631</v>
      </c>
      <c r="E11">
        <f t="shared" si="0"/>
        <v>4.9599999999999977E-2</v>
      </c>
      <c r="F11">
        <v>0.76149999999999995</v>
      </c>
      <c r="G11">
        <f t="shared" si="1"/>
        <v>4.0000000000001146E-4</v>
      </c>
    </row>
    <row r="12" spans="1:7">
      <c r="A12" t="s">
        <v>31</v>
      </c>
      <c r="B12">
        <v>4</v>
      </c>
      <c r="C12">
        <v>0.71440000000000003</v>
      </c>
      <c r="D12">
        <v>0.76200000000000001</v>
      </c>
      <c r="E12">
        <f t="shared" si="0"/>
        <v>4.7599999999999976E-2</v>
      </c>
      <c r="F12">
        <v>0.75990000000000002</v>
      </c>
      <c r="G12">
        <f t="shared" si="1"/>
        <v>5.2499999999999769E-4</v>
      </c>
    </row>
    <row r="13" spans="1:7">
      <c r="A13" t="s">
        <v>32</v>
      </c>
      <c r="B13">
        <v>4</v>
      </c>
      <c r="C13">
        <v>0.71120000000000005</v>
      </c>
      <c r="D13">
        <v>0.76090000000000002</v>
      </c>
      <c r="E13">
        <f t="shared" si="0"/>
        <v>4.9699999999999966E-2</v>
      </c>
      <c r="F13">
        <v>0.75990000000000002</v>
      </c>
      <c r="G13">
        <f t="shared" si="1"/>
        <v>2.5000000000000022E-4</v>
      </c>
    </row>
    <row r="14" spans="1:7">
      <c r="A14" t="s">
        <v>33</v>
      </c>
      <c r="B14">
        <v>4</v>
      </c>
      <c r="C14">
        <v>0.70609999999999995</v>
      </c>
      <c r="D14">
        <v>0.75249999999999995</v>
      </c>
      <c r="E14">
        <f t="shared" si="0"/>
        <v>4.6399999999999997E-2</v>
      </c>
      <c r="F14">
        <v>0.75019999999999998</v>
      </c>
      <c r="G14">
        <f t="shared" si="1"/>
        <v>5.7499999999999218E-4</v>
      </c>
    </row>
    <row r="15" spans="1:7">
      <c r="A15" t="s">
        <v>34</v>
      </c>
      <c r="B15">
        <v>4</v>
      </c>
      <c r="C15">
        <v>0.71970000000000001</v>
      </c>
      <c r="D15">
        <v>0.76890000000000003</v>
      </c>
      <c r="E15">
        <f t="shared" si="0"/>
        <v>4.9200000000000021E-2</v>
      </c>
      <c r="F15">
        <v>0.76680000000000004</v>
      </c>
      <c r="G15">
        <f t="shared" si="1"/>
        <v>5.2499999999999769E-4</v>
      </c>
    </row>
    <row r="16" spans="1:7">
      <c r="A16" t="s">
        <v>35</v>
      </c>
      <c r="B16">
        <v>4</v>
      </c>
      <c r="C16">
        <v>0.71230000000000004</v>
      </c>
      <c r="D16">
        <v>0.76419999999999999</v>
      </c>
      <c r="E16">
        <f t="shared" si="0"/>
        <v>5.1899999999999946E-2</v>
      </c>
      <c r="F16">
        <v>0.73909999999999998</v>
      </c>
      <c r="G16">
        <f t="shared" si="1"/>
        <v>6.2750000000000028E-3</v>
      </c>
    </row>
    <row r="17" spans="1:7">
      <c r="A17" t="s">
        <v>36</v>
      </c>
      <c r="B17">
        <v>4</v>
      </c>
      <c r="C17">
        <v>0.7087</v>
      </c>
      <c r="D17">
        <v>0.76280000000000003</v>
      </c>
      <c r="E17">
        <f t="shared" si="0"/>
        <v>5.4100000000000037E-2</v>
      </c>
      <c r="F17">
        <v>0.75939999999999996</v>
      </c>
      <c r="G17">
        <f t="shared" si="1"/>
        <v>8.5000000000001741E-4</v>
      </c>
    </row>
    <row r="18" spans="1:7">
      <c r="A18" t="s">
        <v>37</v>
      </c>
      <c r="B18">
        <v>4</v>
      </c>
      <c r="C18">
        <v>0.70340000000000003</v>
      </c>
      <c r="D18">
        <v>0.75349999999999995</v>
      </c>
      <c r="E18">
        <f t="shared" si="0"/>
        <v>5.0099999999999922E-2</v>
      </c>
      <c r="F18">
        <v>0.75080000000000002</v>
      </c>
      <c r="G18">
        <f t="shared" si="1"/>
        <v>6.7499999999998117E-4</v>
      </c>
    </row>
    <row r="19" spans="1:7">
      <c r="A19" t="s">
        <v>38</v>
      </c>
      <c r="B19">
        <v>4</v>
      </c>
      <c r="C19">
        <v>0.71360000000000001</v>
      </c>
      <c r="D19">
        <v>0.76149999999999995</v>
      </c>
      <c r="E19">
        <f t="shared" si="0"/>
        <v>4.7899999999999943E-2</v>
      </c>
      <c r="F19">
        <v>0.75990000000000002</v>
      </c>
      <c r="G19">
        <f t="shared" si="1"/>
        <v>3.999999999999837E-4</v>
      </c>
    </row>
    <row r="20" spans="1:7">
      <c r="A20" t="s">
        <v>39</v>
      </c>
      <c r="B20">
        <v>1</v>
      </c>
      <c r="C20">
        <v>0.71750000000000003</v>
      </c>
      <c r="D20">
        <v>0.73229999999999995</v>
      </c>
      <c r="E20">
        <f t="shared" si="0"/>
        <v>1.4799999999999924E-2</v>
      </c>
      <c r="F20">
        <v>0.73199999999999998</v>
      </c>
      <c r="G20">
        <f>(D20-F20)/B20</f>
        <v>2.9999999999996696E-4</v>
      </c>
    </row>
    <row r="21" spans="1:7">
      <c r="A21" t="s">
        <v>40</v>
      </c>
      <c r="B21">
        <v>1</v>
      </c>
      <c r="C21">
        <v>0.70140000000000002</v>
      </c>
      <c r="D21">
        <v>0.71660000000000001</v>
      </c>
      <c r="E21">
        <f t="shared" si="0"/>
        <v>1.5199999999999991E-2</v>
      </c>
      <c r="F21">
        <v>0.71630000000000005</v>
      </c>
      <c r="G21">
        <f t="shared" si="1"/>
        <v>2.9999999999996696E-4</v>
      </c>
    </row>
    <row r="22" spans="1:7">
      <c r="A22" t="s">
        <v>41</v>
      </c>
      <c r="B22">
        <v>1</v>
      </c>
      <c r="C22">
        <v>0.7127</v>
      </c>
      <c r="D22">
        <v>0.72719999999999996</v>
      </c>
      <c r="E22">
        <f t="shared" si="0"/>
        <v>1.4499999999999957E-2</v>
      </c>
      <c r="F22">
        <v>0.7268</v>
      </c>
      <c r="G22">
        <f t="shared" si="1"/>
        <v>3.9999999999995595E-4</v>
      </c>
    </row>
    <row r="23" spans="1:7">
      <c r="A23" t="s">
        <v>42</v>
      </c>
      <c r="B23">
        <v>1</v>
      </c>
      <c r="C23">
        <v>0.7147</v>
      </c>
      <c r="D23">
        <v>0.73319999999999996</v>
      </c>
      <c r="E23">
        <f t="shared" si="0"/>
        <v>1.8499999999999961E-2</v>
      </c>
      <c r="F23">
        <v>0.7329</v>
      </c>
      <c r="G23">
        <f t="shared" si="1"/>
        <v>2.9999999999996696E-4</v>
      </c>
    </row>
    <row r="24" spans="1:7">
      <c r="A24" t="s">
        <v>43</v>
      </c>
      <c r="B24">
        <v>1</v>
      </c>
      <c r="C24">
        <v>0.70950000000000002</v>
      </c>
      <c r="D24">
        <v>0.72619999999999996</v>
      </c>
      <c r="E24">
        <f t="shared" si="0"/>
        <v>1.6699999999999937E-2</v>
      </c>
      <c r="F24">
        <v>0.72599999999999998</v>
      </c>
      <c r="G24">
        <f t="shared" si="1"/>
        <v>1.9999999999997797E-4</v>
      </c>
    </row>
    <row r="25" spans="1:7">
      <c r="A25" t="s">
        <v>44</v>
      </c>
      <c r="B25">
        <v>1</v>
      </c>
      <c r="C25">
        <v>0.71889999999999998</v>
      </c>
      <c r="D25">
        <v>0.73750000000000004</v>
      </c>
      <c r="E25">
        <f t="shared" si="0"/>
        <v>1.8600000000000061E-2</v>
      </c>
      <c r="F25">
        <v>0.73650000000000004</v>
      </c>
      <c r="G25">
        <f t="shared" si="1"/>
        <v>1.0000000000000009E-3</v>
      </c>
    </row>
    <row r="26" spans="1:7">
      <c r="A26" t="s">
        <v>45</v>
      </c>
      <c r="B26">
        <v>1</v>
      </c>
      <c r="C26">
        <v>0.71750000000000003</v>
      </c>
      <c r="D26">
        <v>0.7399</v>
      </c>
      <c r="E26">
        <f t="shared" si="0"/>
        <v>2.2399999999999975E-2</v>
      </c>
      <c r="F26">
        <v>0.73229999999999995</v>
      </c>
      <c r="G26">
        <f t="shared" si="1"/>
        <v>7.6000000000000512E-3</v>
      </c>
    </row>
    <row r="27" spans="1:7">
      <c r="A27" t="s">
        <v>46</v>
      </c>
      <c r="B27">
        <v>1</v>
      </c>
      <c r="C27">
        <v>0.70430000000000004</v>
      </c>
      <c r="D27">
        <v>0.72640000000000005</v>
      </c>
      <c r="E27">
        <f t="shared" si="0"/>
        <v>2.2100000000000009E-2</v>
      </c>
      <c r="F27">
        <v>0.72599999999999998</v>
      </c>
      <c r="G27">
        <f t="shared" si="1"/>
        <v>4.0000000000006697E-4</v>
      </c>
    </row>
    <row r="28" spans="1:7">
      <c r="A28" t="s">
        <v>47</v>
      </c>
      <c r="B28">
        <v>1</v>
      </c>
      <c r="C28">
        <v>0.70250000000000001</v>
      </c>
      <c r="D28">
        <v>0.7208</v>
      </c>
      <c r="E28">
        <f t="shared" si="0"/>
        <v>1.8299999999999983E-2</v>
      </c>
      <c r="F28">
        <v>0.72</v>
      </c>
      <c r="G28">
        <f t="shared" si="1"/>
        <v>8.0000000000002292E-4</v>
      </c>
    </row>
    <row r="29" spans="1:7">
      <c r="A29" t="s">
        <v>48</v>
      </c>
      <c r="B29">
        <v>1</v>
      </c>
      <c r="C29">
        <v>0.70920000000000005</v>
      </c>
      <c r="D29">
        <v>0.72470000000000001</v>
      </c>
      <c r="E29">
        <f t="shared" si="0"/>
        <v>1.5499999999999958E-2</v>
      </c>
      <c r="F29">
        <v>0.72419999999999995</v>
      </c>
      <c r="G29">
        <f t="shared" si="1"/>
        <v>5.0000000000005596E-4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bf2f13-9436-45e0-bb11-03589b6a2d8c">
      <Terms xmlns="http://schemas.microsoft.com/office/infopath/2007/PartnerControls"/>
    </lcf76f155ced4ddcb4097134ff3c332f>
    <CreditedPhototaker xmlns="abbf2f13-9436-45e0-bb11-03589b6a2d8c" xsi:nil="true"/>
    <NamingConventiontobefollowed_x003a_DateofImageposted_Names_Description xmlns="abbf2f13-9436-45e0-bb11-03589b6a2d8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3BB317FEEAE8468C187183806BDC0A" ma:contentTypeVersion="17" ma:contentTypeDescription="Create a new document." ma:contentTypeScope="" ma:versionID="c44b915ffbe93cb56afa14d50b2835f6">
  <xsd:schema xmlns:xsd="http://www.w3.org/2001/XMLSchema" xmlns:xs="http://www.w3.org/2001/XMLSchema" xmlns:p="http://schemas.microsoft.com/office/2006/metadata/properties" xmlns:ns2="abbf2f13-9436-45e0-bb11-03589b6a2d8c" xmlns:ns3="16fc5627-17c5-43f2-a75d-aec96dcde574" targetNamespace="http://schemas.microsoft.com/office/2006/metadata/properties" ma:root="true" ma:fieldsID="db01c550952c82a53b6c62f994d5fbec" ns2:_="" ns3:_="">
    <xsd:import namespace="abbf2f13-9436-45e0-bb11-03589b6a2d8c"/>
    <xsd:import namespace="16fc5627-17c5-43f2-a75d-aec96dcde5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CreditedPhototaker" minOccurs="0"/>
                <xsd:element ref="ns2:NamingConventiontobefollowed_x003a_DateofImageposted_Names_Descriptio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f2f13-9436-45e0-bb11-03589b6a2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1a9f2b-31ec-4979-96c8-dd65772325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reditedPhototaker" ma:index="20" nillable="true" ma:displayName="Credited Phototaker" ma:format="Dropdown" ma:internalName="CreditedPhototaker">
      <xsd:simpleType>
        <xsd:restriction base="dms:Text">
          <xsd:maxLength value="255"/>
        </xsd:restriction>
      </xsd:simpleType>
    </xsd:element>
    <xsd:element name="NamingConventiontobefollowed_x003a_DateofImageposted_Names_Description" ma:index="21" nillable="true" ma:displayName="Naming Convention to be followed: DateofImageposted_Names_Description" ma:format="Dropdown" ma:internalName="NamingConventiontobefollowed_x003a_DateofImageposted_Names_Description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c5627-17c5-43f2-a75d-aec96dcde57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DFD12-3487-4B96-8C5B-E9B7A78E0CE6}"/>
</file>

<file path=customXml/itemProps2.xml><?xml version="1.0" encoding="utf-8"?>
<ds:datastoreItem xmlns:ds="http://schemas.openxmlformats.org/officeDocument/2006/customXml" ds:itemID="{D6A4AA69-0E1F-4010-8913-47DD303A2894}"/>
</file>

<file path=customXml/itemProps3.xml><?xml version="1.0" encoding="utf-8"?>
<ds:datastoreItem xmlns:ds="http://schemas.openxmlformats.org/officeDocument/2006/customXml" ds:itemID="{8A1D2BE5-548A-43FD-A7B4-217A6C21E7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BretzingTungate, Robert</cp:lastModifiedBy>
  <cp:revision/>
  <dcterms:created xsi:type="dcterms:W3CDTF">2025-03-11T14:54:48Z</dcterms:created>
  <dcterms:modified xsi:type="dcterms:W3CDTF">2025-12-02T16:53:43Z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0x010100A93BB317FEEAE8468C187183806BDC0A</vt:lpwstr>
  </property>
  <property fmtid="{D5CDD505-2E9C-101B-9397-08002B2CF9AE}" pid="3" name="MediaServiceImageTags">
    <vt:lpwstr/>
  </property>
</Properties>
</file>